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82B9B407-1697-4F5F-8868-FFFCB317685C}" xr6:coauthVersionLast="47" xr6:coauthVersionMax="47" xr10:uidLastSave="{00000000-0000-0000-0000-000000000000}"/>
  <bookViews>
    <workbookView xWindow="760" yWindow="760" windowWidth="16800" windowHeight="9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/>
  <c r="H8" i="1" s="1"/>
  <c r="H6" i="1"/>
  <c r="H7" i="1"/>
  <c r="G6" i="1"/>
  <c r="G7" i="1"/>
  <c r="G5" i="1"/>
  <c r="G8" i="1" s="1"/>
  <c r="F5" i="1"/>
  <c r="F8" i="1" s="1"/>
  <c r="F6" i="1"/>
  <c r="F7" i="1"/>
  <c r="C5" i="1"/>
  <c r="C7" i="1" s="1"/>
  <c r="D5" i="1"/>
  <c r="D7" i="1" s="1"/>
  <c r="C4" i="1"/>
  <c r="C6" i="1" s="1"/>
  <c r="D4" i="1"/>
  <c r="D6" i="1" s="1"/>
  <c r="B5" i="1"/>
  <c r="B7" i="1" s="1"/>
  <c r="B4" i="1"/>
  <c r="B6" i="1" s="1"/>
  <c r="F9" i="1" l="1"/>
  <c r="F12" i="1" s="1"/>
  <c r="D10" i="1"/>
  <c r="C10" i="1"/>
  <c r="B10" i="1"/>
  <c r="H9" i="1"/>
  <c r="H12" i="1" s="1"/>
  <c r="H10" i="1"/>
  <c r="H11" i="1" s="1"/>
  <c r="G9" i="1"/>
  <c r="G12" i="1" s="1"/>
  <c r="F10" i="1"/>
  <c r="F11" i="1" s="1"/>
  <c r="G10" i="1"/>
  <c r="G11" i="1" s="1"/>
  <c r="D8" i="1"/>
  <c r="D9" i="1" s="1"/>
  <c r="C8" i="1"/>
  <c r="C9" i="1" s="1"/>
  <c r="B8" i="1"/>
  <c r="B9" i="1" s="1"/>
</calcChain>
</file>

<file path=xl/sharedStrings.xml><?xml version="1.0" encoding="utf-8"?>
<sst xmlns="http://schemas.openxmlformats.org/spreadsheetml/2006/main" count="24" uniqueCount="18">
  <si>
    <t>时间1</t>
    <phoneticPr fontId="1" type="noConversion"/>
  </si>
  <si>
    <t>速度2</t>
    <phoneticPr fontId="1" type="noConversion"/>
  </si>
  <si>
    <t>质量1</t>
    <phoneticPr fontId="1" type="noConversion"/>
  </si>
  <si>
    <t>R</t>
    <phoneticPr fontId="1" type="noConversion"/>
  </si>
  <si>
    <t>e</t>
    <phoneticPr fontId="1" type="noConversion"/>
  </si>
  <si>
    <t>E</t>
    <phoneticPr fontId="1" type="noConversion"/>
  </si>
  <si>
    <t>时间1</t>
    <phoneticPr fontId="1" type="noConversion"/>
  </si>
  <si>
    <t>时间2</t>
    <phoneticPr fontId="1" type="noConversion"/>
  </si>
  <si>
    <t>时间3</t>
    <phoneticPr fontId="1" type="noConversion"/>
  </si>
  <si>
    <t>速度1</t>
    <phoneticPr fontId="1" type="noConversion"/>
  </si>
  <si>
    <t>速度2</t>
    <phoneticPr fontId="1" type="noConversion"/>
  </si>
  <si>
    <t>速度3</t>
    <phoneticPr fontId="1" type="noConversion"/>
  </si>
  <si>
    <t>动量1</t>
    <phoneticPr fontId="1" type="noConversion"/>
  </si>
  <si>
    <t>动量2</t>
    <phoneticPr fontId="1" type="noConversion"/>
  </si>
  <si>
    <t>e</t>
    <phoneticPr fontId="1" type="noConversion"/>
  </si>
  <si>
    <t>质量1</t>
    <phoneticPr fontId="1" type="noConversion"/>
  </si>
  <si>
    <t>动量1</t>
    <phoneticPr fontId="1" type="noConversion"/>
  </si>
  <si>
    <t>质量2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</si>
</sst>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;[Red]0.000"/>
    <numFmt numFmtId="177" formatCode="0.00;[Red]0.00"/>
    <numFmt numFmtId="178" formatCode="0.0;[Red]0.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177" fontId="0" fillId="3" borderId="1" xfId="0" applyNumberFormat="1" applyFill="1" applyBorder="1"/>
    <xf numFmtId="177" fontId="0" fillId="3" borderId="2" xfId="0" applyNumberFormat="1" applyFill="1" applyBorder="1"/>
    <xf numFmtId="176" fontId="0" fillId="3" borderId="1" xfId="0" applyNumberFormat="1" applyFill="1" applyBorder="1"/>
    <xf numFmtId="176" fontId="0" fillId="3" borderId="2" xfId="0" applyNumberFormat="1" applyFill="1" applyBorder="1"/>
    <xf numFmtId="178" fontId="0" fillId="3" borderId="1" xfId="0" applyNumberFormat="1" applyFill="1" applyBorder="1"/>
    <xf numFmtId="178" fontId="0" fillId="3" borderId="2" xfId="0" applyNumberFormat="1" applyFill="1" applyBorder="1"/>
    <xf numFmtId="177" fontId="0" fillId="4" borderId="1" xfId="0" applyNumberFormat="1" applyFill="1" applyBorder="1"/>
    <xf numFmtId="177" fontId="0" fillId="4" borderId="2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4" sqref="H4"/>
    </sheetView>
  </sheetViews>
  <sheetFormatPr defaultRowHeight="14" x14ac:dyDescent="0.25"/>
  <sheetData>
    <row r="1" spans="1:8" x14ac:dyDescent="0.25">
      <c r="A1" s="1" t="s">
        <v>15</v>
      </c>
      <c r="B1" s="8">
        <v>199.29</v>
      </c>
      <c r="C1" s="1" t="s">
        <v>17</v>
      </c>
      <c r="D1" s="9">
        <v>199.21</v>
      </c>
      <c r="E1" s="1" t="s">
        <v>2</v>
      </c>
      <c r="F1" s="8">
        <v>300.5</v>
      </c>
      <c r="G1" s="1" t="s">
        <v>17</v>
      </c>
      <c r="H1" s="8">
        <v>249.81</v>
      </c>
    </row>
    <row r="2" spans="1:8" x14ac:dyDescent="0.25">
      <c r="A2" s="1" t="s">
        <v>0</v>
      </c>
      <c r="B2" s="8">
        <v>10.53</v>
      </c>
      <c r="C2" s="8">
        <v>10.53</v>
      </c>
      <c r="D2" s="9">
        <v>10.53</v>
      </c>
      <c r="E2" s="1" t="s">
        <v>6</v>
      </c>
      <c r="F2" s="8">
        <v>10.53</v>
      </c>
      <c r="G2" s="8">
        <v>10.53</v>
      </c>
      <c r="H2" s="8">
        <v>10.53</v>
      </c>
    </row>
    <row r="3" spans="1:8" x14ac:dyDescent="0.25">
      <c r="A3" s="1" t="s">
        <v>7</v>
      </c>
      <c r="B3" s="8">
        <v>10.71</v>
      </c>
      <c r="C3" s="8">
        <v>10.58</v>
      </c>
      <c r="D3" s="9">
        <v>10.66</v>
      </c>
      <c r="E3" s="1" t="s">
        <v>7</v>
      </c>
      <c r="F3" s="8">
        <v>9.75</v>
      </c>
      <c r="G3" s="8">
        <v>9.7200000000000006</v>
      </c>
      <c r="H3" s="8">
        <v>9.7899999999999991</v>
      </c>
    </row>
    <row r="4" spans="1:8" x14ac:dyDescent="0.25">
      <c r="A4" s="1" t="s">
        <v>9</v>
      </c>
      <c r="B4" s="2">
        <f>1/B2*100</f>
        <v>9.4966761633428298</v>
      </c>
      <c r="C4" s="2">
        <f t="shared" ref="C4:D4" si="0">1/C2*100</f>
        <v>9.4966761633428298</v>
      </c>
      <c r="D4" s="3">
        <f t="shared" si="0"/>
        <v>9.4966761633428298</v>
      </c>
      <c r="E4" s="1" t="s">
        <v>8</v>
      </c>
      <c r="F4" s="8">
        <v>115.58</v>
      </c>
      <c r="G4" s="8">
        <v>115.26</v>
      </c>
      <c r="H4" s="8">
        <v>116.13</v>
      </c>
    </row>
    <row r="5" spans="1:8" x14ac:dyDescent="0.25">
      <c r="A5" s="1" t="s">
        <v>1</v>
      </c>
      <c r="B5" s="2">
        <f>1/B3*100</f>
        <v>9.3370681605975712</v>
      </c>
      <c r="C5" s="2">
        <f t="shared" ref="C5:D5" si="1">1/C3*100</f>
        <v>9.4517958412098295</v>
      </c>
      <c r="D5" s="3">
        <f t="shared" si="1"/>
        <v>9.3808630393996246</v>
      </c>
      <c r="E5" s="1" t="s">
        <v>9</v>
      </c>
      <c r="F5" s="2">
        <f>1/F2*100</f>
        <v>9.4966761633428298</v>
      </c>
      <c r="G5" s="2">
        <f>1/G2*100</f>
        <v>9.4966761633428298</v>
      </c>
      <c r="H5" s="2">
        <f>1/H2*100</f>
        <v>9.4966761633428298</v>
      </c>
    </row>
    <row r="6" spans="1:8" x14ac:dyDescent="0.25">
      <c r="A6" s="1" t="s">
        <v>16</v>
      </c>
      <c r="B6" s="2">
        <f>B1*B4/100</f>
        <v>18.925925925925924</v>
      </c>
      <c r="C6" s="2">
        <f>B1*C4/100</f>
        <v>18.925925925925924</v>
      </c>
      <c r="D6" s="3">
        <f>B1*D4/100</f>
        <v>18.925925925925924</v>
      </c>
      <c r="E6" s="1" t="s">
        <v>10</v>
      </c>
      <c r="F6" s="2">
        <f t="shared" ref="F6:G7" si="2">1/F3*100</f>
        <v>10.256410256410255</v>
      </c>
      <c r="G6" s="2">
        <f>1/G3*100</f>
        <v>10.288065843621398</v>
      </c>
      <c r="H6" s="2">
        <f t="shared" ref="H6:H7" si="3">1/H3*100</f>
        <v>10.214504596527069</v>
      </c>
    </row>
    <row r="7" spans="1:8" x14ac:dyDescent="0.25">
      <c r="A7" s="1" t="s">
        <v>13</v>
      </c>
      <c r="B7" s="2">
        <f>D1*B5/100</f>
        <v>18.600373482726422</v>
      </c>
      <c r="C7" s="2">
        <f>D1*C5/100</f>
        <v>18.828922495274103</v>
      </c>
      <c r="D7" s="3">
        <f>D1*D5/100</f>
        <v>18.687617260787992</v>
      </c>
      <c r="E7" s="1" t="s">
        <v>11</v>
      </c>
      <c r="F7" s="2">
        <f t="shared" si="2"/>
        <v>0.86520159197092916</v>
      </c>
      <c r="G7" s="2">
        <f t="shared" si="2"/>
        <v>0.86760367863959742</v>
      </c>
      <c r="H7" s="2">
        <f t="shared" si="3"/>
        <v>0.86110393524498408</v>
      </c>
    </row>
    <row r="8" spans="1:8" x14ac:dyDescent="0.25">
      <c r="A8" s="1" t="s">
        <v>4</v>
      </c>
      <c r="B8" s="4">
        <f>B5/B4</f>
        <v>0.98319327731092421</v>
      </c>
      <c r="C8" s="4">
        <f t="shared" ref="C8:D8" si="4">C5/C4</f>
        <v>0.99527410207939504</v>
      </c>
      <c r="D8" s="5">
        <f t="shared" si="4"/>
        <v>0.98780487804878048</v>
      </c>
      <c r="E8" s="1" t="s">
        <v>12</v>
      </c>
      <c r="F8" s="2">
        <f>F5*F1/100</f>
        <v>28.537511870845204</v>
      </c>
      <c r="G8" s="2">
        <f>G5*F1/100</f>
        <v>28.537511870845204</v>
      </c>
      <c r="H8" s="2">
        <f>H5*F1/100</f>
        <v>28.537511870845204</v>
      </c>
    </row>
    <row r="9" spans="1:8" x14ac:dyDescent="0.25">
      <c r="A9" s="1" t="s">
        <v>3</v>
      </c>
      <c r="B9" s="4">
        <f>(B1+D1*B8*B8)/(B1+D1)</f>
        <v>0.9833378559188084</v>
      </c>
      <c r="C9" s="4">
        <f>(B1+D1*C8*C8)/(B1+D1)</f>
        <v>0.99528621563050435</v>
      </c>
      <c r="D9" s="5">
        <f>(B1+D1*D8*D8)/(B1+D1)</f>
        <v>0.98788167182556241</v>
      </c>
      <c r="E9" s="1" t="s">
        <v>13</v>
      </c>
      <c r="F9" s="2">
        <f>F1*F7/100+H1*F6/100</f>
        <v>28.2214692454111</v>
      </c>
      <c r="G9" s="2">
        <f>F1*G7/100+H1*G6/100</f>
        <v>28.307766338262603</v>
      </c>
      <c r="H9" s="2">
        <f>F1*H7/100+H1*H6/100</f>
        <v>28.104471257995449</v>
      </c>
    </row>
    <row r="10" spans="1:8" x14ac:dyDescent="0.25">
      <c r="A10" s="1" t="s">
        <v>5</v>
      </c>
      <c r="B10" s="6">
        <f>(B6-B7)/B6*100</f>
        <v>1.7201401108388563</v>
      </c>
      <c r="C10" s="6">
        <f t="shared" ref="C10:D10" si="5">(C6-C7)/C6*100</f>
        <v>0.51254258857126467</v>
      </c>
      <c r="D10" s="7">
        <f t="shared" si="5"/>
        <v>1.2591651582630472</v>
      </c>
      <c r="E10" s="1" t="s">
        <v>14</v>
      </c>
      <c r="F10" s="4">
        <f>(F6-F7)/F5</f>
        <v>0.98889427236546101</v>
      </c>
      <c r="G10" s="4">
        <f>(G6-G7)/G5</f>
        <v>0.99197466597258366</v>
      </c>
      <c r="H10" s="4">
        <f t="shared" ref="H10" si="6">(H6-H7)/H5</f>
        <v>0.98491308963300361</v>
      </c>
    </row>
    <row r="11" spans="1:8" x14ac:dyDescent="0.25">
      <c r="E11" s="1" t="s">
        <v>3</v>
      </c>
      <c r="F11" s="4">
        <f>(F1+H1*F10*F10)/(F1+H1)</f>
        <v>0.98997322821998412</v>
      </c>
      <c r="G11" s="4">
        <f>(F1+H1*G10*G10)/(F1+H1)</f>
        <v>0.99274313000426628</v>
      </c>
      <c r="H11" s="4">
        <f>(F1+H1*H10*H10)/(F1+H1)</f>
        <v>0.98640609531304646</v>
      </c>
    </row>
    <row r="12" spans="1:8" x14ac:dyDescent="0.25">
      <c r="E12" s="1" t="s">
        <v>5</v>
      </c>
      <c r="F12" s="6">
        <f>(F8-F9)/F8*100</f>
        <v>1.107463842203366</v>
      </c>
      <c r="G12" s="6">
        <f>(G8-G9)/G8*100</f>
        <v>0.80506504429111259</v>
      </c>
      <c r="H12" s="6">
        <f t="shared" ref="H12" si="7">(H8-H9)/H8*100</f>
        <v>1.5174434786382429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2022-03-20T11:41:07Z</dcterms:modified>
</cp:coreProperties>
</file>