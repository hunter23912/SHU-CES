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19126"/>
  <workbookPr defaultThemeVersion="153222"/>
  <bookViews>
    <workbookView xWindow="0" yWindow="0" windowWidth="19200" windowHeight="8280"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<sst xmlns="http://schemas.openxmlformats.org/spreadsheetml/2006/main" uniqueCount="60" count="60">
  <si>
    <t>d平均</t>
  </si>
  <si>
    <t>a</t>
  </si>
  <si>
    <t>E</t>
  </si>
  <si>
    <t>x平均</t>
  </si>
  <si>
    <t>E</t>
  </si>
  <si>
    <t>b</t>
  </si>
  <si>
    <t>Ea</t>
  </si>
  <si>
    <t>Eb</t>
  </si>
  <si>
    <t>x平均</t>
  </si>
  <si>
    <t>y平均</t>
  </si>
  <si>
    <t>z平均</t>
  </si>
  <si>
    <t>x平均</t>
  </si>
  <si>
    <t>s0</t>
  </si>
  <si>
    <t>f</t>
  </si>
  <si>
    <t>b</t>
  </si>
  <si>
    <t>d修正</t>
  </si>
  <si>
    <t>d</t>
  </si>
  <si>
    <t>x</t>
  </si>
  <si>
    <t>初读数</t>
  </si>
  <si>
    <t>第二题</t>
  </si>
  <si>
    <t>a（Sd）</t>
  </si>
  <si>
    <t>Ud</t>
  </si>
  <si>
    <t>a（Sx）</t>
  </si>
  <si>
    <t>Ux</t>
  </si>
  <si>
    <t>Ux</t>
  </si>
  <si>
    <t>Uy</t>
  </si>
  <si>
    <t>Uz</t>
  </si>
  <si>
    <t>第三题（a、b估读一位）</t>
  </si>
  <si>
    <t>第一题</t>
  </si>
  <si>
    <t>第五题</t>
  </si>
  <si>
    <t>Us</t>
  </si>
  <si>
    <t>S</t>
  </si>
  <si>
    <t>Uf</t>
  </si>
  <si>
    <t>f</t>
  </si>
  <si>
    <t>a(Sx)</t>
  </si>
  <si>
    <t>Uf</t>
  </si>
  <si>
    <t>Ef</t>
  </si>
  <si>
    <t>f</t>
  </si>
  <si>
    <t>θ</t>
  </si>
  <si>
    <t>Uθ</t>
  </si>
  <si>
    <t>第六题（θ中°和′用:代替，Uθ中仅输入秒数）</t>
  </si>
  <si>
    <t>y</t>
  </si>
  <si>
    <t>Va</t>
  </si>
  <si>
    <t>Vb</t>
  </si>
  <si>
    <t>x系数</t>
  </si>
  <si>
    <t>y系数</t>
  </si>
  <si>
    <t>z系数</t>
  </si>
  <si>
    <t>x次数</t>
  </si>
  <si>
    <t>y次数</t>
  </si>
  <si>
    <t>z次数</t>
  </si>
  <si>
    <t>第四题（系数用于第一小题，指数用于第二小题）</t>
  </si>
  <si>
    <t>(1)</t>
  </si>
  <si>
    <t>(2)</t>
  </si>
  <si>
    <t>(3)</t>
  </si>
  <si>
    <t>(4)</t>
  </si>
  <si>
    <t>(5)</t>
  </si>
  <si>
    <t>第七题(下为保留小数位数）</t>
  </si>
  <si>
    <t>第九题(下为保留小数位数）</t>
  </si>
  <si>
    <r>
      <t>使用说明：</t>
    </r>
    <r>
      <rPr>
        <b/>
        <charset val="134"/>
        <sz val="11"/>
        <color rgb="FF00B0F0"/>
        <rFont val="等线"/>
      </rPr>
      <t>建议手动输入数据</t>
    </r>
    <r>
      <rPr>
        <b/>
        <charset val="134"/>
        <sz val="11"/>
        <color rgb="FFFFFFFF"/>
        <rFont val="等线"/>
      </rPr>
      <t xml:space="preserve">       step1把</t>
    </r>
    <r>
      <rPr>
        <b/>
        <charset val="134"/>
        <sz val="11"/>
        <color rgb="FFFF0000"/>
        <rFont val="等线"/>
      </rPr>
      <t>红色</t>
    </r>
    <r>
      <rPr>
        <b/>
        <charset val="134"/>
        <sz val="11"/>
        <color rgb="FFFFFFFF"/>
        <rFont val="等线"/>
      </rPr>
      <t>部分改成自己数据step2把</t>
    </r>
    <r>
      <rPr>
        <b/>
        <charset val="134"/>
        <sz val="11"/>
        <color rgb="FF00B050"/>
        <rFont val="等线"/>
      </rPr>
      <t>绿色</t>
    </r>
    <r>
      <rPr>
        <b/>
        <charset val="134"/>
        <sz val="11"/>
        <color rgb="FFFFFFFF"/>
        <rFont val="等线"/>
      </rPr>
      <t>部分数据即为答案     后面题就是自行填写更加方便了（黄色部分仅供参考）！                 BY NoNo.CoCo.Leo</t>
    </r>
  </si>
  <si>
    <t>第八题(下为有效数字位数）</t>
  </si>
</sst>
</file>

<file path=xl/styles.xml><?xml version="1.0" encoding="utf-8"?>
<styleSheet xmlns="http://schemas.openxmlformats.org/spreadsheetml/2006/main">
  <numFmts count="13">
    <numFmt numFmtId="0" formatCode="General"/>
    <numFmt numFmtId="164" formatCode="0.000"/>
    <numFmt numFmtId="165" formatCode="0.000_ "/>
    <numFmt numFmtId="166" formatCode="0.0000_ "/>
    <numFmt numFmtId="167" formatCode="0.00_ "/>
    <numFmt numFmtId="168" formatCode="0.0_ "/>
    <numFmt numFmtId="169" formatCode="0.00_);[Red]\(0.00\)"/>
    <numFmt numFmtId="170" formatCode="0.000_);[Red]\(0.000\)"/>
    <numFmt numFmtId="171" formatCode="0.0_);[Red]\(0.0\)"/>
    <numFmt numFmtId="172" formatCode="[h]\°mm\′"/>
    <numFmt numFmtId="173" formatCode="0_);[Red]\(0\)"/>
    <numFmt numFmtId="174" formatCode="0.0000_);[Red]\(0.0000\)"/>
    <numFmt numFmtId="49" formatCode="@"/>
  </numFmts>
  <fonts count="7">
    <font>
      <name val="等线"/>
      <sz val="11"/>
    </font>
    <font>
      <name val="等线"/>
      <charset val="134"/>
      <sz val="11"/>
      <color rgb="FF000000"/>
    </font>
    <font>
      <name val="等线"/>
      <charset val="134"/>
      <sz val="11"/>
      <color rgb="FFFFFFFF"/>
    </font>
    <font>
      <name val="等线"/>
      <charset val="134"/>
      <sz val="11"/>
      <color rgb="FFFFFFFF"/>
    </font>
    <font>
      <name val="等线"/>
      <charset val="134"/>
      <sz val="11"/>
    </font>
    <font>
      <name val="等线"/>
      <b/>
      <charset val="134"/>
      <sz val="11"/>
      <color rgb="FFFFFFFF"/>
    </font>
    <font>
      <name val="等线"/>
      <b/>
      <charset val="134"/>
      <sz val="1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medium">
        <color rgb="FFFFC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medium">
        <color rgb="FFFFC000"/>
      </bottom>
      <diagonal/>
    </border>
    <border>
      <left/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C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C000"/>
      </left>
      <right/>
      <top style="medium">
        <color rgb="FFFFC000"/>
      </top>
      <bottom style="thin">
        <color indexed="64"/>
      </bottom>
      <diagonal/>
    </border>
    <border>
      <left/>
      <right/>
      <top style="medium">
        <color rgb="FFFFC000"/>
      </top>
      <bottom style="thin">
        <color indexed="64"/>
      </bottom>
      <diagonal/>
    </border>
    <border>
      <left style="thin">
        <color indexed="64"/>
      </left>
      <right/>
      <top style="medium">
        <color rgb="FFFFC000"/>
      </top>
      <bottom style="thin">
        <color indexed="64"/>
      </bottom>
      <diagonal/>
    </border>
    <border>
      <left/>
      <right style="medium">
        <color rgb="FFFFC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medium">
        <color rgb="FFFFC000"/>
      </left>
      <right style="thin">
        <color rgb="FF000000"/>
      </right>
      <top style="thin">
        <color rgb="FF000000"/>
      </top>
      <bottom style="medium">
        <color rgb="FFFFC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FC000"/>
      </right>
      <top/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>
      <alignment vertical="center"/>
    </xf>
    <xf numFmtId="0" fontId="6" fillId="7" borderId="31">
      <alignment vertical="bottom"/>
      <protection locked="0" hidden="0"/>
    </xf>
  </cellStyleXfs>
  <cellXfs count="7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  <protection locked="0" hidden="0"/>
    </xf>
    <xf numFmtId="0" fontId="1" fillId="3" borderId="10" xfId="0" applyFont="1" applyFill="1" applyBorder="1" applyAlignment="1">
      <alignment horizontal="center" vertical="center" wrapText="1"/>
      <protection locked="0" hidden="0"/>
    </xf>
    <xf numFmtId="164" fontId="1" fillId="3" borderId="10" xfId="0" applyNumberFormat="1" applyFont="1" applyFill="1" applyBorder="1" applyAlignment="1">
      <alignment horizontal="center" vertical="center" wrapText="1"/>
      <protection locked="0" hidden="0"/>
    </xf>
    <xf numFmtId="164" fontId="1" fillId="3" borderId="10" xfId="0" applyNumberFormat="1" applyFont="1" applyFill="1" applyBorder="1" applyAlignment="1">
      <alignment horizontal="center" vertical="center" wrapText="1"/>
      <protection locked="0" hidden="0"/>
    </xf>
    <xf numFmtId="165" fontId="1" fillId="4" borderId="10" xfId="0" applyNumberFormat="1" applyFont="1" applyFill="1" applyBorder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 wrapText="1"/>
      <protection locked="0" hidden="0"/>
    </xf>
    <xf numFmtId="166" fontId="1" fillId="4" borderId="10" xfId="0" applyNumberFormat="1" applyFont="1" applyFill="1" applyBorder="1" applyAlignment="1">
      <alignment horizontal="center" vertical="center"/>
    </xf>
    <xf numFmtId="167" fontId="1" fillId="4" borderId="1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7" fontId="1" fillId="4" borderId="10" xfId="0" applyNumberFormat="1" applyFont="1" applyFill="1" applyBorder="1" applyAlignment="1">
      <alignment horizontal="center" vertical="center"/>
    </xf>
    <xf numFmtId="168" fontId="1" fillId="4" borderId="10" xfId="0" applyNumberFormat="1" applyFont="1" applyFill="1" applyBorder="1" applyAlignment="1">
      <alignment horizontal="center" vertical="center"/>
    </xf>
    <xf numFmtId="168" fontId="1" fillId="4" borderId="11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8" fontId="1" fillId="3" borderId="15" xfId="0" applyNumberFormat="1" applyFont="1" applyFill="1" applyBorder="1" applyAlignment="1">
      <alignment horizontal="center" vertical="center"/>
      <protection locked="0" hidden="0"/>
    </xf>
    <xf numFmtId="168" fontId="1" fillId="3" borderId="16" xfId="0" applyNumberFormat="1" applyFont="1" applyFill="1" applyBorder="1" applyAlignment="1">
      <alignment horizontal="center" vertical="center"/>
      <protection locked="0" hidden="0"/>
    </xf>
    <xf numFmtId="167" fontId="1" fillId="4" borderId="16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 vertical="center"/>
    </xf>
    <xf numFmtId="168" fontId="1" fillId="4" borderId="17" xfId="0" applyNumberFormat="1" applyFont="1" applyFill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  <protection locked="0" hidden="0"/>
    </xf>
    <xf numFmtId="165" fontId="4" fillId="3" borderId="10" xfId="0" applyNumberFormat="1" applyFont="1" applyFill="1" applyBorder="1" applyAlignment="1">
      <alignment horizontal="center" vertical="center"/>
      <protection locked="0" hidden="0"/>
    </xf>
    <xf numFmtId="0" fontId="1" fillId="3" borderId="10" xfId="0" applyNumberFormat="1" applyFont="1" applyFill="1" applyBorder="1" applyAlignment="1">
      <alignment horizontal="center" vertical="center"/>
      <protection locked="0" hidden="0"/>
    </xf>
    <xf numFmtId="0" fontId="1" fillId="3" borderId="23" xfId="0" applyFont="1" applyFill="1" applyBorder="1" applyAlignment="1">
      <alignment horizontal="center" vertical="center"/>
      <protection locked="0" hidden="0"/>
    </xf>
    <xf numFmtId="0" fontId="1" fillId="3" borderId="10" xfId="0" applyFont="1" applyFill="1" applyBorder="1" applyAlignment="1">
      <alignment horizontal="center" vertical="center"/>
      <protection locked="0" hidden="0"/>
    </xf>
    <xf numFmtId="0" fontId="3" fillId="0" borderId="5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  <protection locked="0" hidden="0"/>
    </xf>
    <xf numFmtId="0" fontId="1" fillId="3" borderId="25" xfId="0" applyFont="1" applyFill="1" applyBorder="1" applyAlignment="1">
      <alignment horizontal="center" vertical="center" wrapText="1"/>
      <protection locked="0" hidden="0"/>
    </xf>
    <xf numFmtId="169" fontId="1" fillId="4" borderId="10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  <protection locked="0" hidden="0"/>
    </xf>
    <xf numFmtId="170" fontId="1" fillId="4" borderId="10" xfId="0" applyNumberFormat="1" applyFont="1" applyFill="1" applyBorder="1" applyAlignment="1">
      <alignment horizontal="center" vertical="center"/>
    </xf>
    <xf numFmtId="171" fontId="1" fillId="4" borderId="10" xfId="0" applyNumberFormat="1" applyFont="1" applyFill="1" applyBorder="1" applyAlignment="1">
      <alignment horizontal="center" vertical="center"/>
    </xf>
    <xf numFmtId="171" fontId="1" fillId="4" borderId="11" xfId="0" applyNumberFormat="1" applyFont="1" applyFill="1" applyBorder="1" applyAlignment="1">
      <alignment horizontal="center" vertical="center"/>
    </xf>
    <xf numFmtId="170" fontId="2" fillId="0" borderId="5" xfId="0" applyNumberFormat="1" applyFont="1" applyBorder="1" applyAlignment="1">
      <alignment horizontal="center" vertical="center"/>
    </xf>
    <xf numFmtId="169" fontId="1" fillId="0" borderId="27" xfId="0" applyNumberFormat="1" applyFont="1" applyBorder="1">
      <alignment vertical="center"/>
    </xf>
    <xf numFmtId="169" fontId="1" fillId="0" borderId="28" xfId="0" applyNumberFormat="1" applyFont="1" applyBorder="1">
      <alignment vertical="center"/>
    </xf>
    <xf numFmtId="169" fontId="1" fillId="0" borderId="29" xfId="0" applyNumberFormat="1" applyFont="1" applyBorder="1">
      <alignment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13" xfId="0" applyNumberFormat="1" applyFont="1" applyBorder="1" applyAlignment="1">
      <alignment horizontal="center" vertical="center"/>
    </xf>
    <xf numFmtId="172" fontId="1" fillId="3" borderId="15" xfId="0" applyNumberFormat="1" applyFont="1" applyFill="1" applyBorder="1" applyAlignment="1">
      <alignment horizontal="center" vertical="center"/>
      <protection locked="0" hidden="0"/>
    </xf>
    <xf numFmtId="173" fontId="1" fillId="3" borderId="0" xfId="0" applyNumberFormat="1" applyFont="1" applyFill="1" applyBorder="1" applyAlignment="1">
      <alignment horizontal="center" vertical="center"/>
      <protection locked="0" hidden="0"/>
    </xf>
    <xf numFmtId="174" fontId="1" fillId="4" borderId="16" xfId="0" applyNumberFormat="1" applyFont="1" applyFill="1" applyBorder="1" applyAlignment="1">
      <alignment horizontal="center" vertical="center"/>
    </xf>
    <xf numFmtId="174" fontId="1" fillId="4" borderId="17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5" borderId="30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 wrapText="1"/>
    </xf>
  </cellXfs>
  <cellStyles count="2">
    <cellStyle name="常规" xfId="0" builtinId="0"/>
    <cellStyle name="检查单元格" xfId="1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W28"/>
  <sheetViews>
    <sheetView tabSelected="1" workbookViewId="0" topLeftCell="A3" zoomScale="90">
      <selection activeCell="C3" sqref="C3"/>
    </sheetView>
  </sheetViews>
  <sheetFormatPr defaultRowHeight="13.8" defaultColWidth="9"/>
  <cols>
    <col min="1" max="256" customWidth="1" width="9.109375" style="1"/>
  </cols>
  <sheetData>
    <row r="1" spans="8:8">
      <c r="A1" s="2" t="s">
        <v>28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5"/>
      <c r="O1" s="6"/>
      <c r="P1" s="7"/>
    </row>
    <row r="2" spans="8:8">
      <c r="A2" s="8">
        <v>1.0</v>
      </c>
      <c r="B2" s="9">
        <v>2.0</v>
      </c>
      <c r="C2" s="9">
        <v>3.0</v>
      </c>
      <c r="D2" s="9">
        <v>4.0</v>
      </c>
      <c r="E2" s="9">
        <v>5.0</v>
      </c>
      <c r="F2" s="9">
        <v>6.0</v>
      </c>
      <c r="G2" s="10" t="s">
        <v>0</v>
      </c>
      <c r="H2" s="10" t="s">
        <v>18</v>
      </c>
      <c r="I2" s="10" t="s">
        <v>15</v>
      </c>
      <c r="J2" s="10" t="s">
        <v>20</v>
      </c>
      <c r="K2" s="10" t="s">
        <v>21</v>
      </c>
      <c r="L2" s="11" t="s">
        <v>16</v>
      </c>
      <c r="M2" s="12"/>
      <c r="N2" s="13" t="s">
        <v>2</v>
      </c>
      <c r="O2" s="14"/>
      <c r="P2" s="7"/>
    </row>
    <row r="3" spans="8:8">
      <c r="A3" s="15">
        <v>7.716</v>
      </c>
      <c r="B3" s="16">
        <v>7.721</v>
      </c>
      <c r="C3" s="17">
        <v>7.72</v>
      </c>
      <c r="D3" s="18">
        <v>7.72</v>
      </c>
      <c r="E3" s="16">
        <v>7.719</v>
      </c>
      <c r="F3" s="16">
        <v>7.718</v>
      </c>
      <c r="G3" s="19">
        <f>(A3+B3+C3+D3+E3+F3)/6</f>
        <v>7.7189999999999985</v>
      </c>
      <c r="H3" s="20">
        <v>0.008</v>
      </c>
      <c r="I3" s="19">
        <f>G3-H3</f>
        <v>7.711</v>
      </c>
      <c r="J3" s="21">
        <f>STDEV(A3:F3)</f>
        <v>0.001788854381999734</v>
      </c>
      <c r="K3" s="21">
        <f>SQRT(J3^2+0.004^2)</f>
        <v>0.004381780460041289</v>
      </c>
      <c r="L3" s="19">
        <f>I3</f>
        <v>7.711</v>
      </c>
      <c r="M3" s="19">
        <f>K3</f>
        <v>0.004381780460041289</v>
      </c>
      <c r="N3" s="22">
        <f>K3/(G3-H3)*100</f>
        <v>0.05682506108210725</v>
      </c>
      <c r="P3" s="7"/>
    </row>
    <row r="4" spans="8:8">
      <c r="A4" s="23" t="s">
        <v>19</v>
      </c>
      <c r="B4" s="4"/>
      <c r="C4" s="4"/>
      <c r="D4" s="4"/>
      <c r="E4" s="4"/>
      <c r="F4" s="4"/>
      <c r="G4" s="4"/>
      <c r="H4" s="4"/>
      <c r="I4" s="4"/>
      <c r="J4" s="5"/>
      <c r="K4" s="6"/>
      <c r="L4" s="24"/>
      <c r="M4" s="25"/>
      <c r="N4" s="25"/>
      <c r="O4" s="25"/>
    </row>
    <row r="5" spans="8:8">
      <c r="A5" s="8">
        <v>1.0</v>
      </c>
      <c r="B5" s="9">
        <v>2.0</v>
      </c>
      <c r="C5" s="9">
        <v>3.0</v>
      </c>
      <c r="D5" s="9">
        <v>4.0</v>
      </c>
      <c r="E5" s="10" t="s">
        <v>3</v>
      </c>
      <c r="F5" s="10" t="s">
        <v>22</v>
      </c>
      <c r="G5" s="10" t="s">
        <v>23</v>
      </c>
      <c r="H5" s="11" t="s">
        <v>17</v>
      </c>
      <c r="I5" s="12"/>
      <c r="J5" s="13" t="s">
        <v>4</v>
      </c>
      <c r="L5" s="7"/>
    </row>
    <row r="6" spans="8:8">
      <c r="A6" s="15">
        <v>59.12</v>
      </c>
      <c r="B6" s="16">
        <v>58.45</v>
      </c>
      <c r="C6" s="16">
        <v>58.84</v>
      </c>
      <c r="D6" s="16">
        <v>58.71</v>
      </c>
      <c r="E6" s="26">
        <f>AVERAGE(A6:D6)</f>
        <v>58.78</v>
      </c>
      <c r="F6" s="26">
        <f>STDEV(A6:D6)</f>
        <v>0.2786873995477111</v>
      </c>
      <c r="G6" s="26">
        <f>SQRT((1.6*F6)^2+0.1^2)</f>
        <v>0.45697556462754535</v>
      </c>
      <c r="H6" s="27">
        <f>E6</f>
        <v>58.78</v>
      </c>
      <c r="I6" s="27">
        <f>G6</f>
        <v>0.45697556462754535</v>
      </c>
      <c r="J6" s="28">
        <f>G6/E6*100</f>
        <v>0.7774337608498559</v>
      </c>
      <c r="K6" s="14"/>
      <c r="L6" s="7"/>
    </row>
    <row r="7" spans="8:8">
      <c r="A7" s="2" t="s">
        <v>27</v>
      </c>
      <c r="B7" s="3"/>
      <c r="C7" s="3"/>
      <c r="D7" s="4"/>
      <c r="E7" s="4"/>
      <c r="F7" s="4"/>
      <c r="G7" s="4"/>
      <c r="H7" s="5"/>
      <c r="I7" s="24"/>
      <c r="J7" s="4"/>
      <c r="K7" s="29"/>
    </row>
    <row r="8" spans="8:8">
      <c r="A8" s="14" t="s">
        <v>1</v>
      </c>
      <c r="B8" s="10" t="s">
        <v>5</v>
      </c>
      <c r="C8" s="11" t="s">
        <v>42</v>
      </c>
      <c r="D8" s="12"/>
      <c r="E8" s="10" t="s">
        <v>6</v>
      </c>
      <c r="F8" s="11" t="s">
        <v>43</v>
      </c>
      <c r="G8" s="12"/>
      <c r="H8" s="13" t="s">
        <v>7</v>
      </c>
      <c r="I8" s="30" t="s">
        <v>5</v>
      </c>
      <c r="J8" s="10"/>
      <c r="K8" s="10"/>
    </row>
    <row r="9" spans="8:8">
      <c r="A9" s="31">
        <v>132.2</v>
      </c>
      <c r="B9" s="32">
        <v>145.8</v>
      </c>
      <c r="C9" s="33">
        <f>A9*7.5/150</f>
        <v>6.609999999999999</v>
      </c>
      <c r="D9" s="33">
        <f>I9</f>
        <v>0.0375</v>
      </c>
      <c r="E9" s="34">
        <f>I9/C9*100</f>
        <v>0.56732223903177</v>
      </c>
      <c r="F9" s="33">
        <f>B9*7.5/150</f>
        <v>7.29</v>
      </c>
      <c r="G9" s="33">
        <f>I9</f>
        <v>0.0375</v>
      </c>
      <c r="H9" s="35">
        <f>I9/F9*100</f>
        <v>0.51440329218107</v>
      </c>
      <c r="I9" s="36">
        <f>7.5*0.5%</f>
        <v>0.0375</v>
      </c>
      <c r="J9" s="37"/>
      <c r="K9" s="37"/>
      <c r="L9" s="37"/>
      <c r="M9" s="37"/>
      <c r="N9" s="37"/>
      <c r="O9" s="37"/>
      <c r="P9" s="37"/>
      <c r="Q9" s="37"/>
      <c r="R9" s="37"/>
    </row>
    <row r="10" spans="8:8">
      <c r="A10" s="38" t="s">
        <v>50</v>
      </c>
      <c r="B10" s="39"/>
      <c r="C10" s="39"/>
      <c r="D10" s="39"/>
      <c r="E10" s="40"/>
      <c r="F10" s="4"/>
      <c r="G10" s="4"/>
      <c r="H10" s="4"/>
      <c r="I10" s="4"/>
      <c r="J10" s="4"/>
      <c r="K10" s="4"/>
      <c r="L10" s="41"/>
      <c r="M10" s="24"/>
      <c r="N10" s="4"/>
      <c r="O10" s="4"/>
      <c r="P10" s="4"/>
      <c r="Q10" s="4"/>
      <c r="R10" s="5"/>
      <c r="S10" s="42"/>
    </row>
    <row r="11" spans="8:8">
      <c r="A11" s="8" t="s">
        <v>8</v>
      </c>
      <c r="B11" s="10" t="s">
        <v>24</v>
      </c>
      <c r="C11" s="10" t="s">
        <v>9</v>
      </c>
      <c r="D11" s="10" t="s">
        <v>25</v>
      </c>
      <c r="E11" s="10" t="s">
        <v>10</v>
      </c>
      <c r="F11" s="10" t="s">
        <v>26</v>
      </c>
      <c r="G11" s="10" t="s">
        <v>44</v>
      </c>
      <c r="H11" s="10" t="s">
        <v>45</v>
      </c>
      <c r="I11" s="10" t="s">
        <v>46</v>
      </c>
      <c r="J11" s="10" t="s">
        <v>30</v>
      </c>
      <c r="K11" s="11" t="s">
        <v>31</v>
      </c>
      <c r="L11" s="12"/>
      <c r="M11" s="42" t="s">
        <v>47</v>
      </c>
      <c r="N11" s="10" t="s">
        <v>48</v>
      </c>
      <c r="O11" s="10" t="s">
        <v>49</v>
      </c>
      <c r="P11" s="10" t="s">
        <v>32</v>
      </c>
      <c r="Q11" s="11" t="s">
        <v>33</v>
      </c>
      <c r="R11" s="43"/>
      <c r="S11" s="42"/>
    </row>
    <row r="12" spans="8:8">
      <c r="A12" s="44">
        <v>1.073</v>
      </c>
      <c r="B12" s="45">
        <v>0.005</v>
      </c>
      <c r="C12" s="45">
        <v>1.018</v>
      </c>
      <c r="D12" s="45">
        <v>0.009</v>
      </c>
      <c r="E12" s="45">
        <v>1.181</v>
      </c>
      <c r="F12" s="45">
        <v>0.006</v>
      </c>
      <c r="G12" s="46">
        <v>6.0</v>
      </c>
      <c r="H12" s="46">
        <v>0.166666666666666</v>
      </c>
      <c r="I12" s="46">
        <v>-3.0</v>
      </c>
      <c r="J12" s="19">
        <f>SQRT(B12^2*(G12)^2+D12^2*(H12)^2+F12^2*(I12)^2)</f>
        <v>0.03501785258978626</v>
      </c>
      <c r="K12" s="26">
        <f>G12*A12+H12*C12+I12*E12</f>
        <v>3.06466666666667</v>
      </c>
      <c r="L12" s="26">
        <f>J12</f>
        <v>0.03501785258978626</v>
      </c>
      <c r="M12" s="47">
        <v>2.0</v>
      </c>
      <c r="N12" s="48">
        <v>3.0</v>
      </c>
      <c r="O12" s="48">
        <v>-3.0</v>
      </c>
      <c r="P12" s="19">
        <f>SQRT(B12^2*(M12*A12^(M12-1)*C12^N12*E12^O12)^2+D12^2*(N12*A12^M12*C12^(N12-1)*E12^O12)^2+F12^2*(A12^M12*C12^N12*O12*E12^(O12-1))^2)</f>
        <v>0.023580140949221097</v>
      </c>
      <c r="Q12" s="26">
        <f>A12^M12*C12^N12*E12^O12</f>
        <v>0.7373829391347136</v>
      </c>
      <c r="R12" s="22">
        <f>P12</f>
        <v>0.023580140949221097</v>
      </c>
      <c r="S12" s="42"/>
    </row>
    <row r="13" spans="8:8">
      <c r="A13" s="23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29"/>
      <c r="Q13" s="25"/>
      <c r="R13" s="25"/>
    </row>
    <row r="14" spans="8:8">
      <c r="A14" s="8">
        <v>1.0</v>
      </c>
      <c r="B14" s="9">
        <v>2.0</v>
      </c>
      <c r="C14" s="9">
        <v>3.0</v>
      </c>
      <c r="D14" s="9">
        <v>4.0</v>
      </c>
      <c r="E14" s="9">
        <v>5.0</v>
      </c>
      <c r="F14" s="9">
        <v>6.0</v>
      </c>
      <c r="G14" s="10" t="s">
        <v>11</v>
      </c>
      <c r="H14" s="10" t="s">
        <v>12</v>
      </c>
      <c r="I14" s="10" t="s">
        <v>13</v>
      </c>
      <c r="J14" s="10" t="s">
        <v>34</v>
      </c>
      <c r="K14" s="10" t="s">
        <v>23</v>
      </c>
      <c r="L14" s="10" t="s">
        <v>35</v>
      </c>
      <c r="M14" s="11" t="s">
        <v>37</v>
      </c>
      <c r="N14" s="12"/>
      <c r="O14" s="13" t="s">
        <v>36</v>
      </c>
      <c r="P14" s="49" t="s">
        <v>14</v>
      </c>
    </row>
    <row r="15" spans="8:8">
      <c r="A15" s="50">
        <v>56.45</v>
      </c>
      <c r="B15" s="51">
        <v>56.45</v>
      </c>
      <c r="C15" s="51">
        <v>56.55</v>
      </c>
      <c r="D15" s="51">
        <v>56.54</v>
      </c>
      <c r="E15" s="51">
        <v>56.55</v>
      </c>
      <c r="F15" s="51">
        <v>56.51</v>
      </c>
      <c r="G15" s="52">
        <f>AVERAGE(A15:F15)</f>
        <v>56.508333333333326</v>
      </c>
      <c r="H15" s="53">
        <v>32.02</v>
      </c>
      <c r="I15" s="52">
        <f>G15-H15</f>
        <v>24.488333333333294</v>
      </c>
      <c r="J15" s="54">
        <f>STDEV(A15:F15)</f>
        <v>0.047504385762437</v>
      </c>
      <c r="K15" s="52">
        <f>SQRT((ROUND(J15,3))^2+P15^2)</f>
        <v>0.11092339699089639</v>
      </c>
      <c r="L15" s="52">
        <f>SQRT(K15^2+P15^2)</f>
        <v>0.14934523762075577</v>
      </c>
      <c r="M15" s="55">
        <f>I15</f>
        <v>24.488333333333294</v>
      </c>
      <c r="N15" s="55">
        <f>L15</f>
        <v>0.14934523762075577</v>
      </c>
      <c r="O15" s="56">
        <f>L15/I15*100</f>
        <v>0.6098628093136432</v>
      </c>
      <c r="P15" s="57">
        <v>0.1</v>
      </c>
    </row>
    <row r="16" spans="8:8">
      <c r="A16" s="58" t="s">
        <v>40</v>
      </c>
      <c r="B16" s="59"/>
      <c r="C16" s="59"/>
      <c r="D16" s="60"/>
      <c r="E16" s="61"/>
      <c r="F16" s="62"/>
      <c r="G16" s="25"/>
      <c r="H16" s="62"/>
      <c r="I16" s="62"/>
      <c r="J16" s="62"/>
      <c r="K16" s="62"/>
      <c r="L16" s="62"/>
      <c r="M16" s="62"/>
      <c r="N16" s="62"/>
      <c r="O16" s="62"/>
    </row>
    <row r="17" spans="8:8">
      <c r="A17" s="14" t="s">
        <v>38</v>
      </c>
      <c r="B17" s="10" t="s">
        <v>39</v>
      </c>
      <c r="C17" s="11" t="s">
        <v>41</v>
      </c>
      <c r="D17" s="43"/>
      <c r="E17" s="7"/>
    </row>
    <row r="18" spans="8:8" ht="15.75" customHeight="1">
      <c r="A18" s="63">
        <v>1.721527777777778</v>
      </c>
      <c r="B18" s="64">
        <v>2.0</v>
      </c>
      <c r="C18" s="65">
        <f>SIN(RADIANS(A18*24))</f>
        <v>0.6602201739125507</v>
      </c>
      <c r="D18" s="66">
        <f>ABS(COS(RADIANS(A18*24)))*PI()/180/60*B18</f>
        <v>4.3695604423321335E-4</v>
      </c>
      <c r="E18" s="67"/>
      <c r="J18" s="68" t="s">
        <v>58</v>
      </c>
      <c r="K18" s="68"/>
      <c r="L18" s="68"/>
    </row>
    <row r="19" spans="8:8">
      <c r="A19" s="38" t="s">
        <v>56</v>
      </c>
      <c r="B19" s="39"/>
      <c r="C19" s="40"/>
      <c r="D19" s="4"/>
      <c r="E19" s="5"/>
      <c r="F19" s="69"/>
      <c r="J19" s="70"/>
      <c r="K19" s="70"/>
      <c r="L19" s="70"/>
    </row>
    <row r="20" spans="8:8">
      <c r="A20" s="71" t="s">
        <v>51</v>
      </c>
      <c r="B20" s="72" t="s">
        <v>52</v>
      </c>
      <c r="C20" s="72" t="s">
        <v>53</v>
      </c>
      <c r="D20" s="72" t="s">
        <v>54</v>
      </c>
      <c r="E20" s="73" t="s">
        <v>55</v>
      </c>
      <c r="F20" s="69"/>
      <c r="J20" s="70"/>
      <c r="K20" s="70"/>
      <c r="L20" s="70"/>
    </row>
    <row r="21" spans="8:8">
      <c r="A21" s="74">
        <v>3.0</v>
      </c>
      <c r="B21" s="75">
        <v>2.0</v>
      </c>
      <c r="C21" s="75">
        <v>2.0</v>
      </c>
      <c r="D21" s="75">
        <v>0.0</v>
      </c>
      <c r="E21" s="76">
        <v>0.0</v>
      </c>
      <c r="F21" s="69"/>
      <c r="J21" s="70"/>
      <c r="K21" s="70"/>
      <c r="L21" s="70"/>
    </row>
    <row r="22" spans="8:8">
      <c r="A22" s="38" t="s">
        <v>59</v>
      </c>
      <c r="B22" s="39"/>
      <c r="C22" s="40"/>
      <c r="D22" s="4"/>
      <c r="E22" s="5"/>
      <c r="F22" s="69"/>
      <c r="J22" s="70"/>
      <c r="K22" s="70"/>
      <c r="L22" s="70"/>
    </row>
    <row r="23" spans="8:8">
      <c r="A23" s="71" t="s">
        <v>51</v>
      </c>
      <c r="B23" s="72" t="s">
        <v>52</v>
      </c>
      <c r="C23" s="72" t="s">
        <v>53</v>
      </c>
      <c r="D23" s="72" t="s">
        <v>54</v>
      </c>
      <c r="E23" s="73" t="s">
        <v>55</v>
      </c>
      <c r="F23" s="69"/>
      <c r="G23" s="77"/>
      <c r="H23" s="77"/>
      <c r="I23" s="77"/>
      <c r="J23" s="78"/>
      <c r="K23" s="78"/>
      <c r="L23" s="78"/>
    </row>
    <row r="24" spans="8:8">
      <c r="A24" s="74">
        <v>4.0</v>
      </c>
      <c r="B24" s="75">
        <v>5.0</v>
      </c>
      <c r="C24" s="75">
        <v>4.0</v>
      </c>
      <c r="D24" s="75">
        <v>5.0</v>
      </c>
      <c r="E24" s="76">
        <v>9.0</v>
      </c>
      <c r="F24" s="69"/>
    </row>
    <row r="25" spans="8:8">
      <c r="A25" s="38" t="s">
        <v>57</v>
      </c>
      <c r="B25" s="39"/>
      <c r="C25" s="40"/>
      <c r="D25" s="4"/>
      <c r="E25" s="5"/>
      <c r="F25" s="69"/>
    </row>
    <row r="26" spans="8:8">
      <c r="A26" s="71" t="s">
        <v>51</v>
      </c>
      <c r="B26" s="72" t="s">
        <v>52</v>
      </c>
      <c r="C26" s="72" t="s">
        <v>53</v>
      </c>
      <c r="D26" s="72" t="s">
        <v>54</v>
      </c>
      <c r="E26" s="73" t="s">
        <v>55</v>
      </c>
      <c r="F26" s="69"/>
      <c r="P26" s="77"/>
    </row>
    <row r="27" spans="8:8">
      <c r="A27" s="74">
        <v>2.0</v>
      </c>
      <c r="B27" s="75">
        <v>2.0</v>
      </c>
      <c r="C27" s="75">
        <v>2.0</v>
      </c>
      <c r="D27" s="75">
        <v>1.0</v>
      </c>
      <c r="E27" s="76">
        <v>1.0</v>
      </c>
      <c r="F27" s="69"/>
    </row>
    <row r="28" spans="8:8">
      <c r="A28" s="25"/>
      <c r="B28" s="25"/>
      <c r="C28" s="25"/>
      <c r="D28" s="25"/>
      <c r="E28" s="25"/>
    </row>
  </sheetData>
  <sheetProtection algorithmName="SHA-512" hashValue="3l1Fn8H8uUWSio3ycj3zaRprX+eHz0ggdHn98dWvV89azWVWdZ/PFAcd304Vkv5DYhd1etFH0ENBZsiqoBadww==" saltValue="Fm7vR5XKbH/Xl058Fr343g==" spinCount="100000" sheet="1" selectLockedCells="1"/>
  <mergeCells count="13">
    <mergeCell ref="L2:M2"/>
    <mergeCell ref="H5:I5"/>
    <mergeCell ref="A25:C25"/>
    <mergeCell ref="Q11:R11"/>
    <mergeCell ref="C17:D17"/>
    <mergeCell ref="J18:L23"/>
    <mergeCell ref="A10:E10"/>
    <mergeCell ref="C8:D8"/>
    <mergeCell ref="A22:C22"/>
    <mergeCell ref="K11:L11"/>
    <mergeCell ref="M14:N14"/>
    <mergeCell ref="F8:G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NoNo.CoCo.Leo</dc:creator>
  <cp:lastModifiedBy>文灏</cp:lastModifiedBy>
  <dcterms:created xsi:type="dcterms:W3CDTF">2015-11-25T04:48:19Z</dcterms:created>
  <dcterms:modified xsi:type="dcterms:W3CDTF">2021-10-23T03:17:43Z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94a60a1744eb4027ac9df52460f1ea42</vt:lpwstr>
  </property>
</Properties>
</file>