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opper\Documents\"/>
    </mc:Choice>
  </mc:AlternateContent>
  <xr:revisionPtr revIDLastSave="0" documentId="13_ncr:1_{AE6AF9CC-602F-4392-898B-02C1C5FF34A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D4" i="1" l="1"/>
  <c r="E4" i="1" s="1"/>
  <c r="D9" i="1"/>
  <c r="D8" i="1"/>
  <c r="D7" i="1"/>
  <c r="D6" i="1"/>
  <c r="D5" i="1"/>
  <c r="E8" i="1" l="1"/>
  <c r="E5" i="1"/>
  <c r="E9" i="1"/>
  <c r="E6" i="1"/>
  <c r="F2" i="1"/>
  <c r="E7" i="1"/>
  <c r="B11" i="1" l="1"/>
  <c r="E10" i="1"/>
  <c r="B12" i="1" l="1"/>
</calcChain>
</file>

<file path=xl/sharedStrings.xml><?xml version="1.0" encoding="utf-8"?>
<sst xmlns="http://schemas.openxmlformats.org/spreadsheetml/2006/main" count="25" uniqueCount="24">
  <si>
    <t>砝码盘质量</t>
  </si>
  <si>
    <t>砝码质量</t>
  </si>
  <si>
    <t>砝码个数</t>
  </si>
  <si>
    <t>总质量</t>
  </si>
  <si>
    <t>g</t>
  </si>
  <si>
    <t>张力</t>
  </si>
  <si>
    <t>序号</t>
  </si>
  <si>
    <t>波节个数</t>
  </si>
  <si>
    <t>频率</t>
  </si>
  <si>
    <t>弦长(cm)</t>
  </si>
  <si>
    <t>线密度</t>
  </si>
  <si>
    <t>滑轮</t>
  </si>
  <si>
    <t>刀口</t>
  </si>
  <si>
    <t>平均</t>
  </si>
  <si>
    <t>不确定度</t>
  </si>
  <si>
    <t>相对不确定度</t>
  </si>
  <si>
    <t>五位有效数字</t>
    <phoneticPr fontId="1" type="noConversion"/>
  </si>
  <si>
    <r>
      <t>请务必在调整好滑轮和刀口后（振幅必须要够大），</t>
    </r>
    <r>
      <rPr>
        <sz val="11"/>
        <color rgb="FFFF0000"/>
        <rFont val="宋体"/>
        <family val="3"/>
        <charset val="134"/>
        <scheme val="minor"/>
      </rPr>
      <t>立刻确定状态，此处占2分</t>
    </r>
    <phoneticPr fontId="1" type="noConversion"/>
  </si>
  <si>
    <r>
      <t>不确定度</t>
    </r>
    <r>
      <rPr>
        <sz val="11"/>
        <color rgb="FFFF0000"/>
        <rFont val="宋体"/>
        <family val="3"/>
        <charset val="134"/>
        <scheme val="minor"/>
      </rPr>
      <t>保留一位有效数字</t>
    </r>
    <r>
      <rPr>
        <sz val="11"/>
        <rFont val="宋体"/>
        <family val="3"/>
        <charset val="134"/>
        <scheme val="minor"/>
      </rPr>
      <t>（如：表格中显示不确定度为0.0032，则此空填入0.003）</t>
    </r>
    <phoneticPr fontId="1" type="noConversion"/>
  </si>
  <si>
    <r>
      <t>按照下方的</t>
    </r>
    <r>
      <rPr>
        <sz val="11"/>
        <color rgb="FFFF0000"/>
        <rFont val="宋体"/>
        <family val="3"/>
        <charset val="134"/>
        <scheme val="minor"/>
      </rPr>
      <t>不确定度小数位数进行对齐</t>
    </r>
    <r>
      <rPr>
        <sz val="11"/>
        <color theme="1"/>
        <rFont val="宋体"/>
        <family val="3"/>
        <charset val="134"/>
        <scheme val="minor"/>
      </rPr>
      <t>（如：不确定度在表格中显示为0.0032，保留后为0.003，此时线密度平均值在表格中显示为0.9842，则此处填入0.984）</t>
    </r>
    <phoneticPr fontId="1" type="noConversion"/>
  </si>
  <si>
    <t>（1）±（2）（可直接复制粘贴此处的正负号）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</si>
  <si>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保留一位有效数字</t>
    </r>
    <r>
      <rPr>
        <sz val="11"/>
        <color theme="1"/>
        <rFont val="宋体"/>
        <charset val="134"/>
        <scheme val="minor"/>
      </rPr>
      <t>（如：表格中显示相对不确定度为0.23%，则此处填入0.2即可，不需要百分号）</t>
    </r>
    <phoneticPr fontId="1" type="noConversion"/>
  </si>
  <si>
    <r>
      <t>频率直接照抄频率机，弦长直接填入表格的计算结果，线密度必须</t>
    </r>
    <r>
      <rPr>
        <sz val="11"/>
        <color rgb="FFFF0000"/>
        <rFont val="宋体"/>
        <family val="3"/>
        <charset val="134"/>
        <scheme val="minor"/>
      </rPr>
      <t>保留四位有效数字</t>
    </r>
    <r>
      <rPr>
        <sz val="11"/>
        <color theme="1"/>
        <rFont val="宋体"/>
        <family val="3"/>
        <charset val="134"/>
        <scheme val="minor"/>
      </rPr>
      <t>（如：表格中显示为0.9842，则直接填入；若显示为1.0032，则应填入1.003），</t>
    </r>
    <r>
      <rPr>
        <sz val="11"/>
        <color rgb="FFFF0000"/>
        <rFont val="宋体"/>
        <family val="3"/>
        <charset val="134"/>
        <scheme val="minor"/>
      </rPr>
      <t>数据每空为3分</t>
    </r>
    <phoneticPr fontId="1" type="noConversion"/>
  </si>
  <si>
    <r>
      <t>提示：频率建议从50Hz开始，以每5个Hz为梯度进行增加（请按顺序增加），调节滑轮，若此时发现无论如何调节滑轮依旧无法形成一个大的振幅，可先将滑轮调至目前最大振幅出现的地方，而后微调频率机的频率（±0.20的幅度）直至出现较大振幅方可记录数据（</t>
    </r>
    <r>
      <rPr>
        <sz val="11"/>
        <color rgb="FFFF0000"/>
        <rFont val="宋体"/>
        <family val="3"/>
        <charset val="134"/>
        <scheme val="minor"/>
      </rPr>
      <t>若振幅很小就记录数据可能会导致数据不得分！！</t>
    </r>
    <r>
      <rPr>
        <sz val="11"/>
        <color theme="1"/>
        <rFont val="宋体"/>
        <family val="3"/>
        <charset val="134"/>
        <scheme val="minor"/>
      </rPr>
      <t>）若出现对于</t>
    </r>
    <r>
      <rPr>
        <sz val="11"/>
        <color rgb="FFFF0000"/>
        <rFont val="宋体"/>
        <family val="3"/>
        <charset val="134"/>
        <scheme val="minor"/>
      </rPr>
      <t>有效数字</t>
    </r>
    <r>
      <rPr>
        <sz val="11"/>
        <color theme="1"/>
        <rFont val="宋体"/>
        <family val="3"/>
        <charset val="134"/>
        <scheme val="minor"/>
      </rPr>
      <t>不清楚的情况，</t>
    </r>
    <r>
      <rPr>
        <sz val="11"/>
        <color rgb="FFFF0000"/>
        <rFont val="宋体"/>
        <family val="3"/>
        <charset val="134"/>
        <scheme val="minor"/>
      </rPr>
      <t>请及时百度搞懂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</si>
</sst>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 "/>
    <numFmt numFmtId="178" formatCode="0.0000_ "/>
    <numFmt numFmtId="179" formatCode="0.0000"/>
    <numFmt numFmtId="181" formatCode="0.000%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3" fillId="0" borderId="0" xfId="0" applyFont="1">
      <alignment vertical="center"/>
    </xf>
    <xf numFmtId="2" fontId="4" fillId="0" borderId="0" xfId="0" applyNumberFormat="1" applyFont="1">
      <alignment vertical="center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>
      <alignment vertical="center"/>
    </xf>
    <xf numFmtId="181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45720</xdr:rowOff>
    </xdr:from>
    <xdr:to>
      <xdr:col>3</xdr:col>
      <xdr:colOff>1096579</xdr:colOff>
      <xdr:row>19</xdr:row>
      <xdr:rowOff>132160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46BC91B-9F93-4C82-A119-A7FC04FE5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5540"/>
          <a:ext cx="4342699" cy="13666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19</xdr:row>
      <xdr:rowOff>166572</xdr:rowOff>
    </xdr:from>
    <xdr:to>
      <xdr:col>2</xdr:col>
      <xdr:colOff>975359</xdr:colOff>
      <xdr:row>30</xdr:row>
      <xdr:rowOff>114300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E54DFB6-3CB9-4405-B8A2-A153EEB9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3816552"/>
          <a:ext cx="3185159" cy="195940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</xdr:row>
      <xdr:rowOff>137160</xdr:rowOff>
    </xdr:from>
    <xdr:to>
      <xdr:col>5</xdr:col>
      <xdr:colOff>0</xdr:colOff>
      <xdr:row>43</xdr:row>
      <xdr:rowOff>121920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36DAF73-5B6A-494D-82EF-39FF42713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98820"/>
          <a:ext cx="535686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4" workbookViewId="0">
      <selection activeCell="B11" sqref="B11"/>
    </sheetView>
  </sheetViews>
  <sheetFormatPr defaultColWidth="9" defaultRowHeight="14.4" x14ac:dyDescent="0.25"/>
  <cols>
    <col min="1" max="1" width="17.77734375" customWidth="1"/>
    <col min="2" max="2" width="15.109375" customWidth="1"/>
    <col min="3" max="3" width="14.44140625" customWidth="1"/>
    <col min="4" max="4" width="16.109375" customWidth="1"/>
    <col min="5" max="5" width="15.77734375" customWidth="1"/>
    <col min="6" max="6" width="15" customWidth="1"/>
    <col min="7" max="7" width="13" customWidth="1"/>
  </cols>
  <sheetData>
    <row r="1" spans="1:7" ht="28.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s="1">
        <v>43.91</v>
      </c>
      <c r="B2" s="1">
        <v>45</v>
      </c>
      <c r="C2" s="3">
        <v>2</v>
      </c>
      <c r="D2" s="1">
        <f>B2*C2+A2</f>
        <v>133.91</v>
      </c>
      <c r="E2" s="2">
        <v>9.8011999999999997</v>
      </c>
      <c r="F2" s="5">
        <f>D2*E2/1000</f>
        <v>1.312478692</v>
      </c>
    </row>
    <row r="3" spans="1:7" x14ac:dyDescent="0.25">
      <c r="A3" t="s">
        <v>6</v>
      </c>
      <c r="B3" t="s">
        <v>7</v>
      </c>
      <c r="C3" t="s">
        <v>8</v>
      </c>
      <c r="D3" s="1" t="s">
        <v>9</v>
      </c>
      <c r="E3" t="s">
        <v>10</v>
      </c>
      <c r="F3" t="s">
        <v>11</v>
      </c>
      <c r="G3" t="s">
        <v>12</v>
      </c>
    </row>
    <row r="4" spans="1:7" x14ac:dyDescent="0.25">
      <c r="A4">
        <v>1</v>
      </c>
      <c r="B4" s="3">
        <v>3</v>
      </c>
      <c r="C4" s="1">
        <v>49.99</v>
      </c>
      <c r="D4" s="1">
        <f>F4-G4</f>
        <v>72.419999999999987</v>
      </c>
      <c r="E4" s="2">
        <f>(B4-1)^2*D2*E2/4/D4/D4/C4/C4*10000</f>
        <v>1.0014031355924502</v>
      </c>
      <c r="F4" s="4">
        <v>109.8</v>
      </c>
      <c r="G4" s="4">
        <v>37.380000000000003</v>
      </c>
    </row>
    <row r="5" spans="1:7" x14ac:dyDescent="0.25">
      <c r="A5">
        <v>2</v>
      </c>
      <c r="B5" s="3">
        <v>3</v>
      </c>
      <c r="C5" s="1">
        <v>54.97</v>
      </c>
      <c r="D5" s="1">
        <f t="shared" ref="D5:D9" si="0">F5-G5</f>
        <v>65.900000000000006</v>
      </c>
      <c r="E5" s="2">
        <f>(B5-1)^2*D2*E2/4/D5/D5/C5/C5*10000</f>
        <v>1.000161097856316</v>
      </c>
      <c r="F5" s="4">
        <v>99.89</v>
      </c>
      <c r="G5" s="4">
        <v>33.99</v>
      </c>
    </row>
    <row r="6" spans="1:7" x14ac:dyDescent="0.25">
      <c r="A6">
        <v>3</v>
      </c>
      <c r="B6" s="3">
        <v>3</v>
      </c>
      <c r="C6" s="1">
        <v>59.91</v>
      </c>
      <c r="D6" s="1">
        <f t="shared" si="0"/>
        <v>60.45</v>
      </c>
      <c r="E6" s="2">
        <f>(B6-1)^2*D2*E2/4/D6/D6/C6/C6*10000</f>
        <v>1.0006933455832441</v>
      </c>
      <c r="F6" s="4">
        <v>91.7</v>
      </c>
      <c r="G6" s="4">
        <v>31.25</v>
      </c>
    </row>
    <row r="7" spans="1:7" x14ac:dyDescent="0.25">
      <c r="A7">
        <v>4</v>
      </c>
      <c r="B7" s="3">
        <v>3</v>
      </c>
      <c r="C7" s="1">
        <v>64.92</v>
      </c>
      <c r="D7" s="1">
        <f t="shared" si="0"/>
        <v>55.750000000000007</v>
      </c>
      <c r="E7" s="2">
        <f>(B7-1)^2*D2*E2/4/D7/D7/C7/C7*10000</f>
        <v>1.0019487219657548</v>
      </c>
      <c r="F7" s="4">
        <v>84.68</v>
      </c>
      <c r="G7" s="4">
        <v>28.93</v>
      </c>
    </row>
    <row r="8" spans="1:7" x14ac:dyDescent="0.25">
      <c r="A8">
        <v>5</v>
      </c>
      <c r="B8" s="3">
        <v>3</v>
      </c>
      <c r="C8" s="1">
        <v>70.010000000000005</v>
      </c>
      <c r="D8" s="1">
        <f t="shared" si="0"/>
        <v>51.73</v>
      </c>
      <c r="E8" s="2">
        <f>(B8-1)^2*D2*E2/4/D8/D8/C8/C8*10000</f>
        <v>1.0006614042658555</v>
      </c>
      <c r="F8" s="7">
        <v>78.55</v>
      </c>
      <c r="G8" s="4">
        <v>26.82</v>
      </c>
    </row>
    <row r="9" spans="1:7" x14ac:dyDescent="0.25">
      <c r="A9">
        <v>6</v>
      </c>
      <c r="B9" s="3">
        <v>3</v>
      </c>
      <c r="C9" s="1">
        <v>75.010000000000005</v>
      </c>
      <c r="D9" s="1">
        <f t="shared" si="0"/>
        <v>48.22</v>
      </c>
      <c r="E9" s="2">
        <f>(B9-1)^2*D2*E2/4/D9/D9/C9/C9*10000</f>
        <v>1.0032277080421776</v>
      </c>
      <c r="F9" s="4">
        <v>73.349999999999994</v>
      </c>
      <c r="G9" s="4">
        <v>25.13</v>
      </c>
    </row>
    <row r="10" spans="1:7" x14ac:dyDescent="0.25">
      <c r="A10" t="s">
        <v>13</v>
      </c>
      <c r="E10" s="2">
        <f>(E4+E5+E6+E7+E8+E9)/6</f>
        <v>1.0013492355509663</v>
      </c>
      <c r="F10" s="4"/>
    </row>
    <row r="11" spans="1:7" x14ac:dyDescent="0.25">
      <c r="A11" t="s">
        <v>14</v>
      </c>
      <c r="B11" s="5">
        <f>_xlfn.STDEV.P(E4:E9)</f>
        <v>1.0170154689261484E-3</v>
      </c>
      <c r="C11" s="6"/>
    </row>
    <row r="12" spans="1:7" x14ac:dyDescent="0.25">
      <c r="A12" t="s">
        <v>15</v>
      </c>
      <c r="B12" s="13">
        <f>B11/E10</f>
        <v>1.0156451244171191E-3</v>
      </c>
    </row>
    <row r="15" spans="1:7" x14ac:dyDescent="0.25">
      <c r="E15" s="12" t="s">
        <v>16</v>
      </c>
      <c r="F15" s="12"/>
    </row>
    <row r="16" spans="1:7" x14ac:dyDescent="0.25">
      <c r="E16" s="12"/>
      <c r="F16" s="12"/>
    </row>
    <row r="18" spans="4:6" x14ac:dyDescent="0.25">
      <c r="E18" s="12" t="s">
        <v>16</v>
      </c>
      <c r="F18" s="12"/>
    </row>
    <row r="19" spans="4:6" x14ac:dyDescent="0.25">
      <c r="E19" s="12"/>
      <c r="F19" s="12"/>
    </row>
    <row r="22" spans="4:6" x14ac:dyDescent="0.25">
      <c r="D22" s="10" t="s">
        <v>17</v>
      </c>
      <c r="E22" s="11"/>
      <c r="F22" s="11"/>
    </row>
    <row r="23" spans="4:6" x14ac:dyDescent="0.25">
      <c r="D23" s="11"/>
      <c r="E23" s="11"/>
      <c r="F23" s="11"/>
    </row>
    <row r="24" spans="4:6" x14ac:dyDescent="0.25">
      <c r="D24" s="11"/>
      <c r="E24" s="11"/>
      <c r="F24" s="11"/>
    </row>
    <row r="26" spans="4:6" x14ac:dyDescent="0.25">
      <c r="D26" s="10" t="s">
        <v>22</v>
      </c>
      <c r="E26" s="11"/>
      <c r="F26" s="11"/>
    </row>
    <row r="27" spans="4:6" x14ac:dyDescent="0.25">
      <c r="D27" s="11"/>
      <c r="E27" s="11"/>
      <c r="F27" s="11"/>
    </row>
    <row r="28" spans="4:6" x14ac:dyDescent="0.25">
      <c r="D28" s="11"/>
      <c r="E28" s="11"/>
      <c r="F28" s="11"/>
    </row>
    <row r="29" spans="4:6" x14ac:dyDescent="0.25">
      <c r="D29" s="11"/>
      <c r="E29" s="11"/>
      <c r="F29" s="11"/>
    </row>
    <row r="30" spans="4:6" x14ac:dyDescent="0.25">
      <c r="D30" s="11"/>
      <c r="E30" s="11"/>
      <c r="F30" s="11"/>
    </row>
    <row r="33" spans="1:13" x14ac:dyDescent="0.25">
      <c r="F33" s="10" t="s">
        <v>19</v>
      </c>
      <c r="G33" s="10"/>
      <c r="H33" s="10"/>
      <c r="I33" s="10"/>
      <c r="J33" s="10"/>
      <c r="K33" s="10"/>
      <c r="L33" s="10"/>
      <c r="M33" s="10"/>
    </row>
    <row r="34" spans="1:13" x14ac:dyDescent="0.25">
      <c r="F34" s="10"/>
      <c r="G34" s="10"/>
      <c r="H34" s="10"/>
      <c r="I34" s="10"/>
      <c r="J34" s="10"/>
      <c r="K34" s="10"/>
      <c r="L34" s="10"/>
      <c r="M34" s="10"/>
    </row>
    <row r="36" spans="1:13" x14ac:dyDescent="0.25">
      <c r="F36" s="10" t="s">
        <v>18</v>
      </c>
      <c r="G36" s="11"/>
      <c r="H36" s="11"/>
      <c r="I36" s="11"/>
      <c r="J36" s="11"/>
      <c r="K36" s="11"/>
      <c r="L36" s="11"/>
    </row>
    <row r="37" spans="1:13" x14ac:dyDescent="0.25">
      <c r="F37" s="11"/>
      <c r="G37" s="11"/>
      <c r="H37" s="11"/>
      <c r="I37" s="11"/>
      <c r="J37" s="11"/>
      <c r="K37" s="11"/>
      <c r="L37" s="11"/>
    </row>
    <row r="39" spans="1:13" x14ac:dyDescent="0.25">
      <c r="F39" s="10" t="s">
        <v>20</v>
      </c>
      <c r="G39" s="11"/>
      <c r="H39" s="11"/>
      <c r="I39" s="11"/>
      <c r="J39" s="11"/>
      <c r="K39" s="11"/>
      <c r="L39" s="11"/>
    </row>
    <row r="40" spans="1:13" x14ac:dyDescent="0.25">
      <c r="F40" s="11"/>
      <c r="G40" s="11"/>
      <c r="H40" s="11"/>
      <c r="I40" s="11"/>
      <c r="J40" s="11"/>
      <c r="K40" s="11"/>
      <c r="L40" s="11"/>
    </row>
    <row r="42" spans="1:13" x14ac:dyDescent="0.25">
      <c r="F42" s="9" t="s">
        <v>21</v>
      </c>
      <c r="G42" s="8"/>
      <c r="H42" s="8"/>
      <c r="I42" s="8"/>
      <c r="J42" s="8"/>
      <c r="K42" s="8"/>
      <c r="L42" s="8"/>
    </row>
    <row r="43" spans="1:13" x14ac:dyDescent="0.25">
      <c r="F43" s="8"/>
      <c r="G43" s="8"/>
      <c r="H43" s="8"/>
      <c r="I43" s="8"/>
      <c r="J43" s="8"/>
      <c r="K43" s="8"/>
      <c r="L43" s="8"/>
    </row>
    <row r="45" spans="1:13" x14ac:dyDescent="0.25">
      <c r="A45" s="9" t="s">
        <v>23</v>
      </c>
      <c r="B45" s="8"/>
      <c r="C45" s="8"/>
      <c r="D45" s="8"/>
    </row>
    <row r="46" spans="1:13" x14ac:dyDescent="0.25">
      <c r="A46" s="8"/>
      <c r="B46" s="8"/>
      <c r="C46" s="8"/>
      <c r="D46" s="8"/>
    </row>
    <row r="47" spans="1:13" x14ac:dyDescent="0.25">
      <c r="A47" s="8"/>
      <c r="B47" s="8"/>
      <c r="C47" s="8"/>
      <c r="D47" s="8"/>
    </row>
    <row r="48" spans="1:13" x14ac:dyDescent="0.25">
      <c r="A48" s="8"/>
      <c r="B48" s="8"/>
      <c r="C48" s="8"/>
      <c r="D48" s="8"/>
    </row>
    <row r="49" spans="1:4" x14ac:dyDescent="0.25">
      <c r="A49" s="8"/>
      <c r="B49" s="8"/>
      <c r="C49" s="8"/>
      <c r="D49" s="8"/>
    </row>
    <row r="50" spans="1:4" x14ac:dyDescent="0.25">
      <c r="A50" s="8"/>
      <c r="B50" s="8"/>
      <c r="C50" s="8"/>
      <c r="D50" s="8"/>
    </row>
  </sheetData>
  <mergeCells count="9">
    <mergeCell ref="F33:M34"/>
    <mergeCell ref="F36:L37"/>
    <mergeCell ref="F39:L40"/>
    <mergeCell ref="F42:L43"/>
    <mergeCell ref="A45:D50"/>
    <mergeCell ref="E15:F16"/>
    <mergeCell ref="E18:F19"/>
    <mergeCell ref="D22:F24"/>
    <mergeCell ref="D26:F30"/>
  </mergeCells>
  <phoneticPr fontId="1" type="noConversion"/>
  <pageMargins left="0.69930555555555596" right="0.69930555555555596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chopper</cp:lastModifiedBy>
  <dcterms:created xsi:type="dcterms:W3CDTF">2020-03-29T02:12:00Z</dcterms:created>
  <dcterms:modified xsi:type="dcterms:W3CDTF">2020-03-31T06:11:38Z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